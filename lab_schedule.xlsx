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lva\Dropbox\erasmus\course\ht2_tddd07-real_time_systems\TDDD07-Real_Time_Systems_Labs\"/>
    </mc:Choice>
  </mc:AlternateContent>
  <xr:revisionPtr revIDLastSave="0" documentId="13_ncr:1_{22A187AA-5F2D-419A-9708-E2145D68878B}" xr6:coauthVersionLast="45" xr6:coauthVersionMax="45" xr10:uidLastSave="{00000000-0000-0000-0000-000000000000}"/>
  <bookViews>
    <workbookView xWindow="-120" yWindow="-120" windowWidth="27930" windowHeight="16440" xr2:uid="{42DEF2D1-7947-46AB-B1AA-24ABCB262B64}"/>
  </bookViews>
  <sheets>
    <sheet name="Feuil1 (4)" sheetId="4" r:id="rId1"/>
    <sheet name="Feuil1 (3)" sheetId="3" r:id="rId2"/>
    <sheet name="Feuil1 (2)" sheetId="2" r:id="rId3"/>
    <sheet name="Feuil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" i="4" l="1"/>
  <c r="C6" i="4" s="1"/>
  <c r="D6" i="4" s="1"/>
  <c r="C7" i="4" s="1"/>
  <c r="D7" i="4" s="1"/>
  <c r="C8" i="4" s="1"/>
  <c r="D8" i="4" s="1"/>
  <c r="C9" i="4" s="1"/>
  <c r="D9" i="4" s="1"/>
  <c r="C10" i="4" s="1"/>
  <c r="D10" i="4" s="1"/>
  <c r="C11" i="4" s="1"/>
  <c r="D11" i="4" s="1"/>
  <c r="C12" i="4" s="1"/>
  <c r="E12" i="4" s="1"/>
  <c r="D5" i="3"/>
  <c r="C6" i="3" s="1"/>
  <c r="D6" i="3" s="1"/>
  <c r="C7" i="3" s="1"/>
  <c r="D7" i="3" s="1"/>
  <c r="C8" i="3" s="1"/>
  <c r="D8" i="3" s="1"/>
  <c r="C9" i="3" s="1"/>
  <c r="D9" i="3" s="1"/>
  <c r="C10" i="3" s="1"/>
  <c r="D10" i="3" s="1"/>
  <c r="C11" i="3" s="1"/>
  <c r="D11" i="3" s="1"/>
  <c r="C12" i="3" s="1"/>
  <c r="E12" i="3" s="1"/>
  <c r="D5" i="2"/>
  <c r="C6" i="2" s="1"/>
  <c r="D6" i="2" s="1"/>
  <c r="C7" i="2" s="1"/>
  <c r="D7" i="2" s="1"/>
  <c r="C8" i="2" s="1"/>
  <c r="D8" i="2" s="1"/>
  <c r="C9" i="2" s="1"/>
  <c r="D9" i="2" s="1"/>
  <c r="C10" i="2" s="1"/>
  <c r="D10" i="2" s="1"/>
  <c r="C11" i="2" s="1"/>
  <c r="D11" i="2" s="1"/>
  <c r="C12" i="2" s="1"/>
  <c r="E12" i="2" s="1"/>
  <c r="E12" i="1"/>
  <c r="C12" i="1"/>
  <c r="C7" i="1"/>
  <c r="D7" i="1" s="1"/>
  <c r="C8" i="1" s="1"/>
  <c r="D8" i="1" s="1"/>
  <c r="C9" i="1" s="1"/>
  <c r="D9" i="1" s="1"/>
  <c r="C10" i="1" s="1"/>
  <c r="D10" i="1" s="1"/>
  <c r="C11" i="1" s="1"/>
  <c r="D11" i="1" s="1"/>
  <c r="C6" i="1"/>
  <c r="D6" i="1" s="1"/>
  <c r="D5" i="1"/>
</calcChain>
</file>

<file path=xl/sharedStrings.xml><?xml version="1.0" encoding="utf-8"?>
<sst xmlns="http://schemas.openxmlformats.org/spreadsheetml/2006/main" count="44" uniqueCount="11">
  <si>
    <t>Task</t>
  </si>
  <si>
    <t>End time</t>
  </si>
  <si>
    <t>Mission</t>
  </si>
  <si>
    <t>Navigate</t>
  </si>
  <si>
    <t>Communicate</t>
  </si>
  <si>
    <t>Avoid</t>
  </si>
  <si>
    <t>Refine</t>
  </si>
  <si>
    <t>Idle</t>
  </si>
  <si>
    <t>Start time</t>
  </si>
  <si>
    <t>Report</t>
  </si>
  <si>
    <t>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</si>
</sst>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Minor Cycle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1175338376820544E-2"/>
          <c:y val="0.13497371188222926"/>
          <c:w val="0.81086387730945397"/>
          <c:h val="0.6502065790672064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'Feuil1 (4)'!$B$5</c:f>
              <c:strCache>
                <c:ptCount val="1"/>
                <c:pt idx="0">
                  <c:v>Communicate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(4)'!$C$4:$E$4</c15:sqref>
                  </c15:fullRef>
                </c:ext>
              </c:extLst>
              <c:f>'Feuil1 (4)'!$E$4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(4)'!$C$5:$E$5</c15:sqref>
                  </c15:fullRef>
                </c:ext>
              </c:extLst>
              <c:f>'Feuil1 (4)'!$E$5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6303-462E-A32C-27CDD55656E5}"/>
            </c:ext>
          </c:extLst>
        </c:ser>
        <c:ser>
          <c:idx val="1"/>
          <c:order val="1"/>
          <c:tx>
            <c:strRef>
              <c:f>'Feuil1 (4)'!$B$6</c:f>
              <c:strCache>
                <c:ptCount val="1"/>
                <c:pt idx="0">
                  <c:v>Refine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(4)'!$C$4:$E$4</c15:sqref>
                  </c15:fullRef>
                </c:ext>
              </c:extLst>
              <c:f>'Feuil1 (4)'!$E$4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(4)'!$C$6:$E$6</c15:sqref>
                  </c15:fullRef>
                </c:ext>
              </c:extLst>
              <c:f>'Feuil1 (4)'!$E$6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03-462E-A32C-27CDD55656E5}"/>
            </c:ext>
          </c:extLst>
        </c:ser>
        <c:ser>
          <c:idx val="2"/>
          <c:order val="2"/>
          <c:tx>
            <c:strRef>
              <c:f>'Feuil1 (4)'!$B$7</c:f>
              <c:strCache>
                <c:ptCount val="1"/>
                <c:pt idx="0">
                  <c:v>Report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(4)'!$C$4:$E$4</c15:sqref>
                  </c15:fullRef>
                </c:ext>
              </c:extLst>
              <c:f>'Feuil1 (4)'!$E$4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(4)'!$C$7:$E$7</c15:sqref>
                  </c15:fullRef>
                </c:ext>
              </c:extLst>
              <c:f>'Feuil1 (4)'!$E$7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03-462E-A32C-27CDD55656E5}"/>
            </c:ext>
          </c:extLst>
        </c:ser>
        <c:ser>
          <c:idx val="3"/>
          <c:order val="3"/>
          <c:tx>
            <c:strRef>
              <c:f>'Feuil1 (4)'!$B$8</c:f>
              <c:strCache>
                <c:ptCount val="1"/>
                <c:pt idx="0">
                  <c:v>Mission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(4)'!$C$4:$E$4</c15:sqref>
                  </c15:fullRef>
                </c:ext>
              </c:extLst>
              <c:f>'Feuil1 (4)'!$E$4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(4)'!$C$8:$E$8</c15:sqref>
                  </c15:fullRef>
                </c:ext>
              </c:extLst>
              <c:f>'Feuil1 (4)'!$E$8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03-462E-A32C-27CDD55656E5}"/>
            </c:ext>
          </c:extLst>
        </c:ser>
        <c:ser>
          <c:idx val="4"/>
          <c:order val="4"/>
          <c:tx>
            <c:strRef>
              <c:f>'Feuil1 (4)'!$B$9</c:f>
              <c:strCache>
                <c:ptCount val="1"/>
                <c:pt idx="0">
                  <c:v>Control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(4)'!$C$4:$E$4</c15:sqref>
                  </c15:fullRef>
                </c:ext>
              </c:extLst>
              <c:f>'Feuil1 (4)'!$E$4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(4)'!$C$9:$E$9</c15:sqref>
                  </c15:fullRef>
                </c:ext>
              </c:extLst>
              <c:f>'Feuil1 (4)'!$E$9</c:f>
              <c:numCache>
                <c:formatCode>General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03-462E-A32C-27CDD55656E5}"/>
            </c:ext>
          </c:extLst>
        </c:ser>
        <c:ser>
          <c:idx val="5"/>
          <c:order val="5"/>
          <c:tx>
            <c:strRef>
              <c:f>'Feuil1 (4)'!$B$10</c:f>
              <c:strCache>
                <c:ptCount val="1"/>
                <c:pt idx="0">
                  <c:v>Avoid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(4)'!$C$4:$E$4</c15:sqref>
                  </c15:fullRef>
                </c:ext>
              </c:extLst>
              <c:f>'Feuil1 (4)'!$E$4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(4)'!$C$10:$E$10</c15:sqref>
                  </c15:fullRef>
                </c:ext>
              </c:extLst>
              <c:f>'Feuil1 (4)'!$E$10</c:f>
              <c:numCache>
                <c:formatCode>General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03-462E-A32C-27CDD55656E5}"/>
            </c:ext>
          </c:extLst>
        </c:ser>
        <c:ser>
          <c:idx val="6"/>
          <c:order val="6"/>
          <c:tx>
            <c:strRef>
              <c:f>'Feuil1 (4)'!$B$11</c:f>
              <c:strCache>
                <c:ptCount val="1"/>
                <c:pt idx="0">
                  <c:v>Navigate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(4)'!$C$4:$E$4</c15:sqref>
                  </c15:fullRef>
                </c:ext>
              </c:extLst>
              <c:f>'Feuil1 (4)'!$E$4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(4)'!$C$11:$E$11</c15:sqref>
                  </c15:fullRef>
                </c:ext>
              </c:extLst>
              <c:f>'Feuil1 (4)'!$E$11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'Feuil1 (4)'!$C$11</c15:sqref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6-6303-462E-A32C-27CDD55656E5}"/>
            </c:ext>
          </c:extLst>
        </c:ser>
        <c:ser>
          <c:idx val="7"/>
          <c:order val="7"/>
          <c:tx>
            <c:strRef>
              <c:f>'Feuil1 (4)'!$B$12</c:f>
              <c:strCache>
                <c:ptCount val="1"/>
                <c:pt idx="0">
                  <c:v>Idle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(4)'!$C$4:$E$4</c15:sqref>
                  </c15:fullRef>
                </c:ext>
              </c:extLst>
              <c:f>'Feuil1 (4)'!$E$4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(4)'!$C$12:$E$12</c15:sqref>
                  </c15:fullRef>
                </c:ext>
              </c:extLst>
              <c:f>'Feuil1 (4)'!$E$12</c:f>
              <c:numCache>
                <c:formatCode>General</c:formatCode>
                <c:ptCount val="1"/>
                <c:pt idx="0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303-462E-A32C-27CDD55656E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5324912"/>
        <c:axId val="969604336"/>
      </c:barChart>
      <c:catAx>
        <c:axId val="653249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604336"/>
        <c:crosses val="autoZero"/>
        <c:auto val="1"/>
        <c:lblAlgn val="ctr"/>
        <c:lblOffset val="100"/>
        <c:noMultiLvlLbl val="0"/>
      </c:catAx>
      <c:valAx>
        <c:axId val="96960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900921208378365"/>
          <c:y val="0.90378499217566255"/>
          <c:w val="0.47178549740106018"/>
          <c:h val="7.0978414764400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Minor Cycle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1175338376820544E-2"/>
          <c:y val="0.13497371188222926"/>
          <c:w val="0.81086387730945397"/>
          <c:h val="0.6502065790672064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'Feuil1 (3)'!$B$5</c:f>
              <c:strCache>
                <c:ptCount val="1"/>
                <c:pt idx="0">
                  <c:v>Communicate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(3)'!$C$4:$E$4</c15:sqref>
                  </c15:fullRef>
                </c:ext>
              </c:extLst>
              <c:f>'Feuil1 (3)'!$E$4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(3)'!$C$5:$E$5</c15:sqref>
                  </c15:fullRef>
                </c:ext>
              </c:extLst>
              <c:f>'Feuil1 (3)'!$E$5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F03-49A7-8866-BB2222AB8B50}"/>
            </c:ext>
          </c:extLst>
        </c:ser>
        <c:ser>
          <c:idx val="1"/>
          <c:order val="1"/>
          <c:tx>
            <c:strRef>
              <c:f>'Feuil1 (3)'!$B$6</c:f>
              <c:strCache>
                <c:ptCount val="1"/>
                <c:pt idx="0">
                  <c:v>Refine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(3)'!$C$4:$E$4</c15:sqref>
                  </c15:fullRef>
                </c:ext>
              </c:extLst>
              <c:f>'Feuil1 (3)'!$E$4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(3)'!$C$6:$E$6</c15:sqref>
                  </c15:fullRef>
                </c:ext>
              </c:extLst>
              <c:f>'Feuil1 (3)'!$E$6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03-49A7-8866-BB2222AB8B50}"/>
            </c:ext>
          </c:extLst>
        </c:ser>
        <c:ser>
          <c:idx val="2"/>
          <c:order val="2"/>
          <c:tx>
            <c:strRef>
              <c:f>'Feuil1 (3)'!$B$7</c:f>
              <c:strCache>
                <c:ptCount val="1"/>
                <c:pt idx="0">
                  <c:v>Report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(3)'!$C$4:$E$4</c15:sqref>
                  </c15:fullRef>
                </c:ext>
              </c:extLst>
              <c:f>'Feuil1 (3)'!$E$4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(3)'!$C$7:$E$7</c15:sqref>
                  </c15:fullRef>
                </c:ext>
              </c:extLst>
              <c:f>'Feuil1 (3)'!$E$7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03-49A7-8866-BB2222AB8B50}"/>
            </c:ext>
          </c:extLst>
        </c:ser>
        <c:ser>
          <c:idx val="3"/>
          <c:order val="3"/>
          <c:tx>
            <c:strRef>
              <c:f>'Feuil1 (3)'!$B$8</c:f>
              <c:strCache>
                <c:ptCount val="1"/>
                <c:pt idx="0">
                  <c:v>Mission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(3)'!$C$4:$E$4</c15:sqref>
                  </c15:fullRef>
                </c:ext>
              </c:extLst>
              <c:f>'Feuil1 (3)'!$E$4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(3)'!$C$8:$E$8</c15:sqref>
                  </c15:fullRef>
                </c:ext>
              </c:extLst>
              <c:f>'Feuil1 (3)'!$E$8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03-49A7-8866-BB2222AB8B50}"/>
            </c:ext>
          </c:extLst>
        </c:ser>
        <c:ser>
          <c:idx val="4"/>
          <c:order val="4"/>
          <c:tx>
            <c:strRef>
              <c:f>'Feuil1 (3)'!$B$9</c:f>
              <c:strCache>
                <c:ptCount val="1"/>
                <c:pt idx="0">
                  <c:v>Control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(3)'!$C$4:$E$4</c15:sqref>
                  </c15:fullRef>
                </c:ext>
              </c:extLst>
              <c:f>'Feuil1 (3)'!$E$4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(3)'!$C$9:$E$9</c15:sqref>
                  </c15:fullRef>
                </c:ext>
              </c:extLst>
              <c:f>'Feuil1 (3)'!$E$9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4-4F03-49A7-8866-BB2222AB8B50}"/>
            </c:ext>
          </c:extLst>
        </c:ser>
        <c:ser>
          <c:idx val="5"/>
          <c:order val="5"/>
          <c:tx>
            <c:strRef>
              <c:f>'Feuil1 (3)'!$B$10</c:f>
              <c:strCache>
                <c:ptCount val="1"/>
                <c:pt idx="0">
                  <c:v>Avoid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(3)'!$C$4:$E$4</c15:sqref>
                  </c15:fullRef>
                </c:ext>
              </c:extLst>
              <c:f>'Feuil1 (3)'!$E$4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(3)'!$C$10:$E$10</c15:sqref>
                  </c15:fullRef>
                </c:ext>
              </c:extLst>
              <c:f>'Feuil1 (3)'!$E$10</c:f>
              <c:numCache>
                <c:formatCode>General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03-49A7-8866-BB2222AB8B50}"/>
            </c:ext>
          </c:extLst>
        </c:ser>
        <c:ser>
          <c:idx val="6"/>
          <c:order val="6"/>
          <c:tx>
            <c:strRef>
              <c:f>'Feuil1 (3)'!$B$11</c:f>
              <c:strCache>
                <c:ptCount val="1"/>
                <c:pt idx="0">
                  <c:v>Navigate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(3)'!$C$4:$E$4</c15:sqref>
                  </c15:fullRef>
                </c:ext>
              </c:extLst>
              <c:f>'Feuil1 (3)'!$E$4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(3)'!$C$11:$E$11</c15:sqref>
                  </c15:fullRef>
                </c:ext>
              </c:extLst>
              <c:f>'Feuil1 (3)'!$E$11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'Feuil1 (3)'!$C$11</c15:sqref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6-4F03-49A7-8866-BB2222AB8B50}"/>
            </c:ext>
          </c:extLst>
        </c:ser>
        <c:ser>
          <c:idx val="7"/>
          <c:order val="7"/>
          <c:tx>
            <c:strRef>
              <c:f>'Feuil1 (3)'!$B$12</c:f>
              <c:strCache>
                <c:ptCount val="1"/>
                <c:pt idx="0">
                  <c:v>Idle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(3)'!$C$4:$E$4</c15:sqref>
                  </c15:fullRef>
                </c:ext>
              </c:extLst>
              <c:f>'Feuil1 (3)'!$E$4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(3)'!$C$12:$E$12</c15:sqref>
                  </c15:fullRef>
                </c:ext>
              </c:extLst>
              <c:f>'Feuil1 (3)'!$E$12</c:f>
              <c:numCache>
                <c:formatCode>General</c:formatCode>
                <c:ptCount val="1"/>
                <c:pt idx="0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F03-49A7-8866-BB2222AB8B5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5324912"/>
        <c:axId val="969604336"/>
      </c:barChart>
      <c:catAx>
        <c:axId val="653249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604336"/>
        <c:crosses val="autoZero"/>
        <c:auto val="1"/>
        <c:lblAlgn val="ctr"/>
        <c:lblOffset val="100"/>
        <c:noMultiLvlLbl val="0"/>
      </c:catAx>
      <c:valAx>
        <c:axId val="96960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9483299881632"/>
          <c:y val="0.88696059680237127"/>
          <c:w val="0.47178549740106018"/>
          <c:h val="7.0978414764400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Minor Cycle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1175338376820544E-2"/>
          <c:y val="0.13497371188222926"/>
          <c:w val="0.81086387730945397"/>
          <c:h val="0.6502065790672064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'Feuil1 (2)'!$B$5</c:f>
              <c:strCache>
                <c:ptCount val="1"/>
                <c:pt idx="0">
                  <c:v>Communicate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(2)'!$C$4:$E$4</c15:sqref>
                  </c15:fullRef>
                </c:ext>
              </c:extLst>
              <c:f>'Feuil1 (2)'!$E$4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(2)'!$C$5:$E$5</c15:sqref>
                  </c15:fullRef>
                </c:ext>
              </c:extLst>
              <c:f>'Feuil1 (2)'!$E$5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5A-4E9B-97B1-E87A97A20CF4}"/>
            </c:ext>
          </c:extLst>
        </c:ser>
        <c:ser>
          <c:idx val="1"/>
          <c:order val="1"/>
          <c:tx>
            <c:strRef>
              <c:f>'Feuil1 (2)'!$B$6</c:f>
              <c:strCache>
                <c:ptCount val="1"/>
                <c:pt idx="0">
                  <c:v>Refine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(2)'!$C$4:$E$4</c15:sqref>
                  </c15:fullRef>
                </c:ext>
              </c:extLst>
              <c:f>'Feuil1 (2)'!$E$4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(2)'!$C$6:$E$6</c15:sqref>
                  </c15:fullRef>
                </c:ext>
              </c:extLst>
              <c:f>'Feuil1 (2)'!$E$6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5A-4E9B-97B1-E87A97A20CF4}"/>
            </c:ext>
          </c:extLst>
        </c:ser>
        <c:ser>
          <c:idx val="2"/>
          <c:order val="2"/>
          <c:tx>
            <c:strRef>
              <c:f>'Feuil1 (2)'!$B$7</c:f>
              <c:strCache>
                <c:ptCount val="1"/>
                <c:pt idx="0">
                  <c:v>Report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(2)'!$C$4:$E$4</c15:sqref>
                  </c15:fullRef>
                </c:ext>
              </c:extLst>
              <c:f>'Feuil1 (2)'!$E$4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(2)'!$C$7:$E$7</c15:sqref>
                  </c15:fullRef>
                </c:ext>
              </c:extLst>
              <c:f>'Feuil1 (2)'!$E$7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5A-4E9B-97B1-E87A97A20CF4}"/>
            </c:ext>
          </c:extLst>
        </c:ser>
        <c:ser>
          <c:idx val="3"/>
          <c:order val="3"/>
          <c:tx>
            <c:strRef>
              <c:f>'Feuil1 (2)'!$B$8</c:f>
              <c:strCache>
                <c:ptCount val="1"/>
                <c:pt idx="0">
                  <c:v>Mission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(2)'!$C$4:$E$4</c15:sqref>
                  </c15:fullRef>
                </c:ext>
              </c:extLst>
              <c:f>'Feuil1 (2)'!$E$4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(2)'!$C$8:$E$8</c15:sqref>
                  </c15:fullRef>
                </c:ext>
              </c:extLst>
              <c:f>'Feuil1 (2)'!$E$8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5A-4E9B-97B1-E87A97A20CF4}"/>
            </c:ext>
          </c:extLst>
        </c:ser>
        <c:ser>
          <c:idx val="4"/>
          <c:order val="4"/>
          <c:tx>
            <c:strRef>
              <c:f>'Feuil1 (2)'!$B$9</c:f>
              <c:strCache>
                <c:ptCount val="1"/>
                <c:pt idx="0">
                  <c:v>Control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(2)'!$C$4:$E$4</c15:sqref>
                  </c15:fullRef>
                </c:ext>
              </c:extLst>
              <c:f>'Feuil1 (2)'!$E$4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(2)'!$C$9:$E$9</c15:sqref>
                  </c15:fullRef>
                </c:ext>
              </c:extLst>
              <c:f>'Feuil1 (2)'!$E$9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35A-4E9B-97B1-E87A97A20CF4}"/>
            </c:ext>
          </c:extLst>
        </c:ser>
        <c:ser>
          <c:idx val="5"/>
          <c:order val="5"/>
          <c:tx>
            <c:strRef>
              <c:f>'Feuil1 (2)'!$B$10</c:f>
              <c:strCache>
                <c:ptCount val="1"/>
                <c:pt idx="0">
                  <c:v>Avoid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(2)'!$C$4:$E$4</c15:sqref>
                  </c15:fullRef>
                </c:ext>
              </c:extLst>
              <c:f>'Feuil1 (2)'!$E$4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(2)'!$C$10:$E$10</c15:sqref>
                  </c15:fullRef>
                </c:ext>
              </c:extLst>
              <c:f>'Feuil1 (2)'!$E$10</c:f>
              <c:numCache>
                <c:formatCode>General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35A-4E9B-97B1-E87A97A20CF4}"/>
            </c:ext>
          </c:extLst>
        </c:ser>
        <c:ser>
          <c:idx val="6"/>
          <c:order val="6"/>
          <c:tx>
            <c:strRef>
              <c:f>'Feuil1 (2)'!$B$11</c:f>
              <c:strCache>
                <c:ptCount val="1"/>
                <c:pt idx="0">
                  <c:v>Navigate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(2)'!$C$4:$E$4</c15:sqref>
                  </c15:fullRef>
                </c:ext>
              </c:extLst>
              <c:f>'Feuil1 (2)'!$E$4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(2)'!$C$11:$E$11</c15:sqref>
                  </c15:fullRef>
                </c:ext>
              </c:extLst>
              <c:f>'Feuil1 (2)'!$E$11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'Feuil1 (2)'!$C$11</c15:sqref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6-435A-4E9B-97B1-E87A97A20CF4}"/>
            </c:ext>
          </c:extLst>
        </c:ser>
        <c:ser>
          <c:idx val="7"/>
          <c:order val="7"/>
          <c:tx>
            <c:strRef>
              <c:f>'Feuil1 (2)'!$B$12</c:f>
              <c:strCache>
                <c:ptCount val="1"/>
                <c:pt idx="0">
                  <c:v>Idle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'Feuil1 (2)'!$C$4:$E$4</c15:sqref>
                  </c15:fullRef>
                </c:ext>
              </c:extLst>
              <c:f>'Feuil1 (2)'!$E$4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'Feuil1 (2)'!$C$12:$E$12</c15:sqref>
                  </c15:fullRef>
                </c:ext>
              </c:extLst>
              <c:f>'Feuil1 (2)'!$E$12</c:f>
              <c:numCache>
                <c:formatCode>General</c:formatCode>
                <c:ptCount val="1"/>
                <c:pt idx="0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35A-4E9B-97B1-E87A97A20CF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5324912"/>
        <c:axId val="969604336"/>
      </c:barChart>
      <c:catAx>
        <c:axId val="653249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604336"/>
        <c:crosses val="autoZero"/>
        <c:auto val="1"/>
        <c:lblAlgn val="ctr"/>
        <c:lblOffset val="100"/>
        <c:noMultiLvlLbl val="0"/>
      </c:catAx>
      <c:valAx>
        <c:axId val="96960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Minor Cycle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1175338376820544E-2"/>
          <c:y val="0.13497371188222926"/>
          <c:w val="0.81086387730945397"/>
          <c:h val="0.6502065790672064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Feuil1!$B$5</c:f>
              <c:strCache>
                <c:ptCount val="1"/>
                <c:pt idx="0">
                  <c:v>Communicate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Feuil1!$C$4:$E$4</c15:sqref>
                  </c15:fullRef>
                </c:ext>
              </c:extLst>
              <c:f>Feuil1!$E$4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Feuil1!$C$5:$E$5</c15:sqref>
                  </c15:fullRef>
                </c:ext>
              </c:extLst>
              <c:f>Feuil1!$E$5</c:f>
              <c:numCache>
                <c:formatCode>General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49-40CF-9774-426E3EA97CD7}"/>
            </c:ext>
          </c:extLst>
        </c:ser>
        <c:ser>
          <c:idx val="1"/>
          <c:order val="1"/>
          <c:tx>
            <c:strRef>
              <c:f>Feuil1!$B$6</c:f>
              <c:strCache>
                <c:ptCount val="1"/>
                <c:pt idx="0">
                  <c:v>Refine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Feuil1!$C$4:$E$4</c15:sqref>
                  </c15:fullRef>
                </c:ext>
              </c:extLst>
              <c:f>Feuil1!$E$4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Feuil1!$C$6:$E$6</c15:sqref>
                  </c15:fullRef>
                </c:ext>
              </c:extLst>
              <c:f>Feuil1!$E$6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49-40CF-9774-426E3EA97CD7}"/>
            </c:ext>
          </c:extLst>
        </c:ser>
        <c:ser>
          <c:idx val="2"/>
          <c:order val="2"/>
          <c:tx>
            <c:strRef>
              <c:f>Feuil1!$B$7</c:f>
              <c:strCache>
                <c:ptCount val="1"/>
                <c:pt idx="0">
                  <c:v>Report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Feuil1!$C$4:$E$4</c15:sqref>
                  </c15:fullRef>
                </c:ext>
              </c:extLst>
              <c:f>Feuil1!$E$4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Feuil1!$C$7:$E$7</c15:sqref>
                  </c15:fullRef>
                </c:ext>
              </c:extLst>
              <c:f>Feuil1!$E$7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49-40CF-9774-426E3EA97CD7}"/>
            </c:ext>
          </c:extLst>
        </c:ser>
        <c:ser>
          <c:idx val="3"/>
          <c:order val="3"/>
          <c:tx>
            <c:strRef>
              <c:f>Feuil1!$B$8</c:f>
              <c:strCache>
                <c:ptCount val="1"/>
                <c:pt idx="0">
                  <c:v>Mission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Feuil1!$C$4:$E$4</c15:sqref>
                  </c15:fullRef>
                </c:ext>
              </c:extLst>
              <c:f>Feuil1!$E$4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Feuil1!$C$8:$E$8</c15:sqref>
                  </c15:fullRef>
                </c:ext>
              </c:extLst>
              <c:f>Feuil1!$E$8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49-40CF-9774-426E3EA97CD7}"/>
            </c:ext>
          </c:extLst>
        </c:ser>
        <c:ser>
          <c:idx val="4"/>
          <c:order val="4"/>
          <c:tx>
            <c:strRef>
              <c:f>Feuil1!$B$9</c:f>
              <c:strCache>
                <c:ptCount val="1"/>
                <c:pt idx="0">
                  <c:v>Control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Feuil1!$C$4:$E$4</c15:sqref>
                  </c15:fullRef>
                </c:ext>
              </c:extLst>
              <c:f>Feuil1!$E$4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Feuil1!$C$9:$E$9</c15:sqref>
                  </c15:fullRef>
                </c:ext>
              </c:extLst>
              <c:f>Feuil1!$E$9</c:f>
              <c:numCache>
                <c:formatCode>General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49-40CF-9774-426E3EA97CD7}"/>
            </c:ext>
          </c:extLst>
        </c:ser>
        <c:ser>
          <c:idx val="5"/>
          <c:order val="5"/>
          <c:tx>
            <c:strRef>
              <c:f>Feuil1!$B$10</c:f>
              <c:strCache>
                <c:ptCount val="1"/>
                <c:pt idx="0">
                  <c:v>Avoid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Feuil1!$C$4:$E$4</c15:sqref>
                  </c15:fullRef>
                </c:ext>
              </c:extLst>
              <c:f>Feuil1!$E$4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Feuil1!$C$10:$E$10</c15:sqref>
                  </c15:fullRef>
                </c:ext>
              </c:extLst>
              <c:f>Feuil1!$E$10</c:f>
              <c:numCache>
                <c:formatCode>General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C49-40CF-9774-426E3EA97CD7}"/>
            </c:ext>
          </c:extLst>
        </c:ser>
        <c:ser>
          <c:idx val="6"/>
          <c:order val="6"/>
          <c:tx>
            <c:strRef>
              <c:f>Feuil1!$B$11</c:f>
              <c:strCache>
                <c:ptCount val="1"/>
                <c:pt idx="0">
                  <c:v>Navigate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Feuil1!$C$4:$E$4</c15:sqref>
                  </c15:fullRef>
                </c:ext>
              </c:extLst>
              <c:f>Feuil1!$E$4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Feuil1!$C$11:$E$11</c15:sqref>
                  </c15:fullRef>
                </c:ext>
              </c:extLst>
              <c:f>Feuil1!$E$11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Feuil1!$C$11</c15:sqref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6-7C49-40CF-9774-426E3EA97CD7}"/>
            </c:ext>
          </c:extLst>
        </c:ser>
        <c:ser>
          <c:idx val="7"/>
          <c:order val="7"/>
          <c:tx>
            <c:strRef>
              <c:f>Feuil1!$B$12</c:f>
              <c:strCache>
                <c:ptCount val="1"/>
                <c:pt idx="0">
                  <c:v>Idle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Feuil1!$C$4:$E$4</c15:sqref>
                  </c15:fullRef>
                </c:ext>
              </c:extLst>
              <c:f>Feuil1!$E$4</c:f>
              <c:strCache>
                <c:ptCount val="0"/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Feuil1!$C$12:$E$12</c15:sqref>
                  </c15:fullRef>
                </c:ext>
              </c:extLst>
              <c:f>Feuil1!$E$12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42-44A8-A9B4-E8FCA2399ED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5324912"/>
        <c:axId val="969604336"/>
      </c:barChart>
      <c:catAx>
        <c:axId val="6532491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604336"/>
        <c:crosses val="autoZero"/>
        <c:auto val="1"/>
        <c:lblAlgn val="ctr"/>
        <c:lblOffset val="100"/>
        <c:noMultiLvlLbl val="0"/>
      </c:catAx>
      <c:valAx>
        <c:axId val="96960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733425</xdr:colOff>
      <xdr:row>1</xdr:row>
      <xdr:rowOff>152399</xdr:rowOff>
    </xdr:from>
    <xdr:to>
      <xdr:col>18</xdr:col>
      <xdr:colOff>542925</xdr:colOff>
      <xdr:row>17</xdr:row>
      <xdr:rowOff>123824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D0A261A5-0D58-4917-84D3-64CF2B1910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733425</xdr:colOff>
      <xdr:row>1</xdr:row>
      <xdr:rowOff>152399</xdr:rowOff>
    </xdr:from>
    <xdr:to>
      <xdr:col>18</xdr:col>
      <xdr:colOff>542925</xdr:colOff>
      <xdr:row>17</xdr:row>
      <xdr:rowOff>123824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25CEBF73-7B22-4271-964A-F1CE9AF1FB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733425</xdr:colOff>
      <xdr:row>1</xdr:row>
      <xdr:rowOff>152399</xdr:rowOff>
    </xdr:from>
    <xdr:to>
      <xdr:col>18</xdr:col>
      <xdr:colOff>542925</xdr:colOff>
      <xdr:row>17</xdr:row>
      <xdr:rowOff>123824</xdr:rowOff>
    </xdr:to>
    <xdr:graphicFrame macro="">
      <xdr:nvGraphicFramePr>
        <xdr:cNvPr id="2" name="Graphique 2">
          <a:extLst>
            <a:ext uri="{FF2B5EF4-FFF2-40B4-BE49-F238E27FC236}">
              <a16:creationId xmlns:a16="http://schemas.microsoft.com/office/drawing/2014/main" id="{1B5B2B8D-A0BF-497C-BA8E-BB0A546C71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733425</xdr:colOff>
      <xdr:row>1</xdr:row>
      <xdr:rowOff>152399</xdr:rowOff>
    </xdr:from>
    <xdr:to>
      <xdr:col>18</xdr:col>
      <xdr:colOff>542925</xdr:colOff>
      <xdr:row>17</xdr:row>
      <xdr:rowOff>123824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3C275AC-A39E-4E4D-A6D8-5CBEAE5F5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A74C5-D824-4575-9EB3-7234EF891A55}">
  <dimension ref="B2:F12"/>
  <sheetViews>
    <sheetView tabSelected="1" topLeftCell="B1" workbookViewId="0">
      <selection activeCell="L20" sqref="L20"/>
    </sheetView>
  </sheetViews>
  <sheetFormatPr defaultColWidth="11.42578125" defaultRowHeight="15" x14ac:dyDescent="0.25"/>
  <cols>
    <col min="2" max="2" width="13.28515625" bestFit="1" customWidth="1"/>
    <col min="5" max="5" width="15.5703125" bestFit="1" customWidth="1"/>
  </cols>
  <sheetData>
    <row r="2" spans="2:6" x14ac:dyDescent="0.25">
      <c r="F2" s="1"/>
    </row>
    <row r="4" spans="2:6" x14ac:dyDescent="0.25">
      <c r="B4" s="1" t="s">
        <v>0</v>
      </c>
      <c r="C4" s="1" t="s">
        <v>8</v>
      </c>
      <c r="D4" s="1" t="s">
        <v>1</v>
      </c>
      <c r="E4" s="1"/>
    </row>
    <row r="5" spans="2:6" x14ac:dyDescent="0.25">
      <c r="B5" t="s">
        <v>4</v>
      </c>
      <c r="C5">
        <v>0</v>
      </c>
      <c r="D5">
        <f>E5-C5</f>
        <v>0</v>
      </c>
    </row>
    <row r="6" spans="2:6" x14ac:dyDescent="0.25">
      <c r="B6" t="s">
        <v>6</v>
      </c>
      <c r="C6">
        <f>D5</f>
        <v>0</v>
      </c>
      <c r="D6">
        <f>E6+C6</f>
        <v>15</v>
      </c>
      <c r="E6" s="2">
        <v>15</v>
      </c>
    </row>
    <row r="7" spans="2:6" x14ac:dyDescent="0.25">
      <c r="B7" t="s">
        <v>9</v>
      </c>
      <c r="C7">
        <f t="shared" ref="C7:C12" si="0">D6</f>
        <v>15</v>
      </c>
      <c r="D7">
        <f t="shared" ref="D7:D11" si="1">E7+C7</f>
        <v>16</v>
      </c>
      <c r="E7">
        <v>1</v>
      </c>
    </row>
    <row r="8" spans="2:6" x14ac:dyDescent="0.25">
      <c r="B8" t="s">
        <v>2</v>
      </c>
      <c r="C8">
        <f t="shared" si="0"/>
        <v>16</v>
      </c>
      <c r="D8">
        <f t="shared" si="1"/>
        <v>17</v>
      </c>
      <c r="E8">
        <v>1</v>
      </c>
    </row>
    <row r="9" spans="2:6" x14ac:dyDescent="0.25">
      <c r="B9" t="s">
        <v>10</v>
      </c>
      <c r="C9">
        <f t="shared" si="0"/>
        <v>17</v>
      </c>
      <c r="D9">
        <f t="shared" si="1"/>
        <v>41</v>
      </c>
      <c r="E9">
        <v>24</v>
      </c>
    </row>
    <row r="10" spans="2:6" x14ac:dyDescent="0.25">
      <c r="B10" t="s">
        <v>5</v>
      </c>
      <c r="C10">
        <f t="shared" si="0"/>
        <v>41</v>
      </c>
      <c r="D10">
        <f t="shared" si="1"/>
        <v>64</v>
      </c>
      <c r="E10">
        <v>23</v>
      </c>
    </row>
    <row r="11" spans="2:6" x14ac:dyDescent="0.25">
      <c r="B11" t="s">
        <v>3</v>
      </c>
      <c r="C11">
        <f t="shared" si="0"/>
        <v>64</v>
      </c>
      <c r="D11">
        <f t="shared" si="1"/>
        <v>65</v>
      </c>
      <c r="E11">
        <v>1</v>
      </c>
    </row>
    <row r="12" spans="2:6" x14ac:dyDescent="0.25">
      <c r="B12" t="s">
        <v>7</v>
      </c>
      <c r="C12">
        <f t="shared" si="0"/>
        <v>65</v>
      </c>
      <c r="D12">
        <v>100</v>
      </c>
      <c r="E12">
        <f>D12-C12</f>
        <v>35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60C-2774-441D-B19E-52BE8118B766}">
  <dimension ref="B2:F12"/>
  <sheetViews>
    <sheetView topLeftCell="B1" workbookViewId="0">
      <selection activeCell="O21" sqref="O21"/>
    </sheetView>
  </sheetViews>
  <sheetFormatPr defaultColWidth="11.42578125" defaultRowHeight="15" x14ac:dyDescent="0.25"/>
  <cols>
    <col min="2" max="2" width="13.28515625" bestFit="1" customWidth="1"/>
    <col min="5" max="5" width="15.5703125" bestFit="1" customWidth="1"/>
  </cols>
  <sheetData>
    <row r="2" spans="2:6" x14ac:dyDescent="0.25">
      <c r="F2" s="1"/>
    </row>
    <row r="4" spans="2:6" x14ac:dyDescent="0.25">
      <c r="B4" s="1" t="s">
        <v>0</v>
      </c>
      <c r="C4" s="1" t="s">
        <v>8</v>
      </c>
      <c r="D4" s="1" t="s">
        <v>1</v>
      </c>
      <c r="E4" s="1"/>
    </row>
    <row r="5" spans="2:6" x14ac:dyDescent="0.25">
      <c r="B5" t="s">
        <v>4</v>
      </c>
      <c r="C5">
        <v>0</v>
      </c>
      <c r="D5">
        <f>E5-C5</f>
        <v>0</v>
      </c>
    </row>
    <row r="6" spans="2:6" x14ac:dyDescent="0.25">
      <c r="B6" t="s">
        <v>6</v>
      </c>
      <c r="C6">
        <f>D5</f>
        <v>0</v>
      </c>
      <c r="D6">
        <f>E6+C6</f>
        <v>15</v>
      </c>
      <c r="E6" s="2">
        <v>15</v>
      </c>
    </row>
    <row r="7" spans="2:6" x14ac:dyDescent="0.25">
      <c r="B7" t="s">
        <v>9</v>
      </c>
      <c r="C7">
        <f t="shared" ref="C7:C12" si="0">D6</f>
        <v>15</v>
      </c>
      <c r="D7">
        <f t="shared" ref="D7:D11" si="1">E7+C7</f>
        <v>16</v>
      </c>
      <c r="E7">
        <v>1</v>
      </c>
    </row>
    <row r="8" spans="2:6" x14ac:dyDescent="0.25">
      <c r="B8" t="s">
        <v>2</v>
      </c>
      <c r="C8">
        <f t="shared" si="0"/>
        <v>16</v>
      </c>
      <c r="D8">
        <f t="shared" si="1"/>
        <v>17</v>
      </c>
      <c r="E8">
        <v>1</v>
      </c>
    </row>
    <row r="9" spans="2:6" x14ac:dyDescent="0.25">
      <c r="B9" t="s">
        <v>10</v>
      </c>
      <c r="C9">
        <f t="shared" si="0"/>
        <v>17</v>
      </c>
      <c r="D9">
        <f t="shared" si="1"/>
        <v>17</v>
      </c>
    </row>
    <row r="10" spans="2:6" x14ac:dyDescent="0.25">
      <c r="B10" t="s">
        <v>5</v>
      </c>
      <c r="C10">
        <f t="shared" si="0"/>
        <v>17</v>
      </c>
      <c r="D10">
        <f t="shared" si="1"/>
        <v>40</v>
      </c>
      <c r="E10">
        <v>23</v>
      </c>
    </row>
    <row r="11" spans="2:6" x14ac:dyDescent="0.25">
      <c r="B11" t="s">
        <v>3</v>
      </c>
      <c r="C11">
        <f t="shared" si="0"/>
        <v>40</v>
      </c>
      <c r="D11">
        <f t="shared" si="1"/>
        <v>41</v>
      </c>
      <c r="E11">
        <v>1</v>
      </c>
    </row>
    <row r="12" spans="2:6" x14ac:dyDescent="0.25">
      <c r="B12" t="s">
        <v>7</v>
      </c>
      <c r="C12">
        <f t="shared" si="0"/>
        <v>41</v>
      </c>
      <c r="D12">
        <v>100</v>
      </c>
      <c r="E12">
        <f>D12-C12</f>
        <v>59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640B5-5035-4FDF-BF33-57FDBAC93DEE}">
  <dimension ref="B2:F12"/>
  <sheetViews>
    <sheetView topLeftCell="B1" workbookViewId="0">
      <selection activeCell="E10" sqref="E10"/>
    </sheetView>
  </sheetViews>
  <sheetFormatPr defaultColWidth="11.42578125" defaultRowHeight="15" x14ac:dyDescent="0.25"/>
  <cols>
    <col min="2" max="2" width="13.28515625" bestFit="1" customWidth="1"/>
    <col min="5" max="5" width="15.5703125" bestFit="1" customWidth="1"/>
  </cols>
  <sheetData>
    <row r="2" spans="2:6" x14ac:dyDescent="0.25">
      <c r="F2" s="1"/>
    </row>
    <row r="4" spans="2:6" x14ac:dyDescent="0.25">
      <c r="B4" s="1" t="s">
        <v>0</v>
      </c>
      <c r="C4" s="1" t="s">
        <v>8</v>
      </c>
      <c r="D4" s="1" t="s">
        <v>1</v>
      </c>
      <c r="E4" s="1"/>
    </row>
    <row r="5" spans="2:6" x14ac:dyDescent="0.25">
      <c r="B5" t="s">
        <v>4</v>
      </c>
      <c r="C5">
        <v>0</v>
      </c>
      <c r="D5">
        <f>E5-C5</f>
        <v>9</v>
      </c>
      <c r="E5">
        <v>9</v>
      </c>
    </row>
    <row r="6" spans="2:6" x14ac:dyDescent="0.25">
      <c r="B6" t="s">
        <v>6</v>
      </c>
      <c r="C6">
        <f>D5</f>
        <v>9</v>
      </c>
      <c r="D6">
        <f>E6+C6</f>
        <v>24</v>
      </c>
      <c r="E6" s="2">
        <v>15</v>
      </c>
    </row>
    <row r="7" spans="2:6" x14ac:dyDescent="0.25">
      <c r="B7" t="s">
        <v>9</v>
      </c>
      <c r="C7">
        <f t="shared" ref="C7:C12" si="0">D6</f>
        <v>24</v>
      </c>
      <c r="D7">
        <f t="shared" ref="D7:D11" si="1">E7+C7</f>
        <v>25</v>
      </c>
      <c r="E7">
        <v>1</v>
      </c>
    </row>
    <row r="8" spans="2:6" x14ac:dyDescent="0.25">
      <c r="B8" t="s">
        <v>2</v>
      </c>
      <c r="C8">
        <f t="shared" si="0"/>
        <v>25</v>
      </c>
      <c r="D8">
        <f t="shared" si="1"/>
        <v>26</v>
      </c>
      <c r="E8">
        <v>1</v>
      </c>
    </row>
    <row r="9" spans="2:6" x14ac:dyDescent="0.25">
      <c r="B9" t="s">
        <v>10</v>
      </c>
      <c r="C9">
        <f t="shared" si="0"/>
        <v>26</v>
      </c>
      <c r="D9">
        <f t="shared" si="1"/>
        <v>26</v>
      </c>
      <c r="E9">
        <v>0</v>
      </c>
    </row>
    <row r="10" spans="2:6" x14ac:dyDescent="0.25">
      <c r="B10" t="s">
        <v>5</v>
      </c>
      <c r="C10">
        <f t="shared" si="0"/>
        <v>26</v>
      </c>
      <c r="D10">
        <f t="shared" si="1"/>
        <v>49</v>
      </c>
      <c r="E10">
        <v>23</v>
      </c>
    </row>
    <row r="11" spans="2:6" x14ac:dyDescent="0.25">
      <c r="B11" t="s">
        <v>3</v>
      </c>
      <c r="C11">
        <f t="shared" si="0"/>
        <v>49</v>
      </c>
      <c r="D11">
        <f t="shared" si="1"/>
        <v>50</v>
      </c>
      <c r="E11">
        <v>1</v>
      </c>
    </row>
    <row r="12" spans="2:6" x14ac:dyDescent="0.25">
      <c r="B12" t="s">
        <v>7</v>
      </c>
      <c r="C12">
        <f t="shared" si="0"/>
        <v>50</v>
      </c>
      <c r="D12">
        <v>100</v>
      </c>
      <c r="E12">
        <f>D12-C12</f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A55B-6E7B-4715-B66F-1F7D89955144}">
  <dimension ref="B2:F12"/>
  <sheetViews>
    <sheetView topLeftCell="B1" workbookViewId="0">
      <selection activeCell="E7" sqref="E7"/>
    </sheetView>
  </sheetViews>
  <sheetFormatPr defaultColWidth="11.42578125" defaultRowHeight="15" x14ac:dyDescent="0.25"/>
  <cols>
    <col min="2" max="2" width="13.28515625" bestFit="1" customWidth="1"/>
    <col min="5" max="5" width="15.5703125" bestFit="1" customWidth="1"/>
  </cols>
  <sheetData>
    <row r="2" spans="2:6" x14ac:dyDescent="0.25">
      <c r="F2" s="1"/>
    </row>
    <row r="4" spans="2:6" x14ac:dyDescent="0.25">
      <c r="B4" s="1" t="s">
        <v>0</v>
      </c>
      <c r="C4" s="1" t="s">
        <v>8</v>
      </c>
      <c r="D4" s="1" t="s">
        <v>1</v>
      </c>
      <c r="E4" s="1"/>
    </row>
    <row r="5" spans="2:6" x14ac:dyDescent="0.25">
      <c r="B5" t="s">
        <v>4</v>
      </c>
      <c r="C5">
        <v>0</v>
      </c>
      <c r="D5">
        <f>E5-C5</f>
        <v>9</v>
      </c>
      <c r="E5">
        <v>9</v>
      </c>
    </row>
    <row r="6" spans="2:6" x14ac:dyDescent="0.25">
      <c r="B6" t="s">
        <v>6</v>
      </c>
      <c r="C6">
        <f>D5</f>
        <v>9</v>
      </c>
      <c r="D6">
        <f>E6+C6</f>
        <v>24</v>
      </c>
      <c r="E6" s="2">
        <v>15</v>
      </c>
    </row>
    <row r="7" spans="2:6" x14ac:dyDescent="0.25">
      <c r="B7" t="s">
        <v>9</v>
      </c>
      <c r="C7">
        <f t="shared" ref="C7:C12" si="0">D6</f>
        <v>24</v>
      </c>
      <c r="D7">
        <f t="shared" ref="D7:D11" si="1">E7+C7</f>
        <v>25</v>
      </c>
      <c r="E7">
        <v>1</v>
      </c>
    </row>
    <row r="8" spans="2:6" x14ac:dyDescent="0.25">
      <c r="B8" t="s">
        <v>2</v>
      </c>
      <c r="C8">
        <f t="shared" si="0"/>
        <v>25</v>
      </c>
      <c r="D8">
        <f t="shared" si="1"/>
        <v>26</v>
      </c>
      <c r="E8">
        <v>1</v>
      </c>
    </row>
    <row r="9" spans="2:6" x14ac:dyDescent="0.25">
      <c r="B9" t="s">
        <v>10</v>
      </c>
      <c r="C9">
        <f t="shared" si="0"/>
        <v>26</v>
      </c>
      <c r="D9">
        <f t="shared" si="1"/>
        <v>50</v>
      </c>
      <c r="E9">
        <v>24</v>
      </c>
    </row>
    <row r="10" spans="2:6" x14ac:dyDescent="0.25">
      <c r="B10" t="s">
        <v>5</v>
      </c>
      <c r="C10">
        <f t="shared" si="0"/>
        <v>50</v>
      </c>
      <c r="D10">
        <f t="shared" si="1"/>
        <v>73</v>
      </c>
      <c r="E10">
        <v>23</v>
      </c>
    </row>
    <row r="11" spans="2:6" x14ac:dyDescent="0.25">
      <c r="B11" t="s">
        <v>3</v>
      </c>
      <c r="C11">
        <f t="shared" si="0"/>
        <v>73</v>
      </c>
      <c r="D11">
        <f t="shared" si="1"/>
        <v>74</v>
      </c>
      <c r="E11">
        <v>1</v>
      </c>
    </row>
    <row r="12" spans="2:6" x14ac:dyDescent="0.25">
      <c r="B12" t="s">
        <v>7</v>
      </c>
      <c r="C12">
        <f t="shared" si="0"/>
        <v>74</v>
      </c>
      <c r="D12">
        <v>100</v>
      </c>
      <c r="E12">
        <f>D12-C12</f>
        <v>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Feuil1 (4)</vt:lpstr>
      <vt:lpstr>Feuil1 (3)</vt:lpstr>
      <vt:lpstr>Feuil1 (2)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Sylvain Lapeyrade</dc:creator>
  <cp:lastModifiedBy>Sylvain Lapeyrade</cp:lastModifiedBy>
  <dcterms:created xsi:type="dcterms:W3CDTF">2019-12-01T21:25:15Z</dcterms:created>
  <dcterms:modified xsi:type="dcterms:W3CDTF">2019-12-16T22:33:47Z</dcterms:modified>
</cp:coreProperties>
</file>